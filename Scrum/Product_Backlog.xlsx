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Resumen" sheetId="2" state="visible" r:id="rId4"/>
    <sheet name="Leyenda" sheetId="3" state="visible" r:id="rId5"/>
  </sheets>
  <definedNames>
    <definedName function="false" hidden="true" localSheetId="0" name="_xlnm._FilterDatabase" vbProcedure="false">'Product Backlog'!$A$4:$J$34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Estimación referencial en story points (Fibonacci), propuesta a partir del esfuerzo registrado en la bitácora. Validar con el equipo.</t>
        </r>
      </text>
    </comment>
    <comment ref="G4" authorId="0">
      <text>
        <r>
          <rPr>
            <sz val="10"/>
            <rFont val="Arial"/>
            <family val="2"/>
          </rPr>
          <t xml:space="preserve">Vacío = ítem en Product Backlog aún no asignado a un sprint.</t>
        </r>
      </text>
    </comment>
  </commentList>
</comments>
</file>

<file path=xl/sharedStrings.xml><?xml version="1.0" encoding="utf-8"?>
<sst xmlns="http://schemas.openxmlformats.org/spreadsheetml/2006/main" count="304" uniqueCount="172">
  <si>
    <t xml:space="preserve">Enci-Intel — Product Backlog (Equipo 1 / Grupo 9)</t>
  </si>
  <si>
    <t xml:space="preserve">Fuente: bitácora de desarrollo al 02-10-2026 · corte 02-10-2026 · Estimación en story points (referencial, validar en refinamiento)</t>
  </si>
  <si>
    <t xml:space="preserve">ID</t>
  </si>
  <si>
    <t xml:space="preserve">Épica</t>
  </si>
  <si>
    <t xml:space="preserve">Historia de usuario</t>
  </si>
  <si>
    <t xml:space="preserve">Criterios de aceptación</t>
  </si>
  <si>
    <t xml:space="preserve">Prioridad (MoSCoW)</t>
  </si>
  <si>
    <t xml:space="preserve">Estimación (SP)</t>
  </si>
  <si>
    <t xml:space="preserve">Sprint</t>
  </si>
  <si>
    <t xml:space="preserve">Estado</t>
  </si>
  <si>
    <t xml:space="preserve">Fecha de cierre</t>
  </si>
  <si>
    <t xml:space="preserve">Evidencia</t>
  </si>
  <si>
    <t xml:space="preserve">HU-01</t>
  </si>
  <si>
    <t xml:space="preserve">E1 Fundamentos</t>
  </si>
  <si>
    <t xml:space="preserve">Como equipo, quiero definir qué construimos y qué hacen otros equipos, para evitar solapamientos.</t>
  </si>
  <si>
    <t xml:space="preserve">Alcance dentro/fuera documentado; fronteras del Dashboard y de competidores explícitas.</t>
  </si>
  <si>
    <t xml:space="preserve">Must</t>
  </si>
  <si>
    <t xml:space="preserve">Sprint 1</t>
  </si>
  <si>
    <t xml:space="preserve">Terminado</t>
  </si>
  <si>
    <t xml:space="preserve">02-09-2026</t>
  </si>
  <si>
    <t xml:space="preserve">Bitácora §1</t>
  </si>
  <si>
    <t xml:space="preserve">HU-02</t>
  </si>
  <si>
    <t xml:space="preserve">Como equipo, quiero elegir el stack tecnológico, para construir sobre una base compatible con Vercel.</t>
  </si>
  <si>
    <t xml:space="preserve">Decisión justificada: Next.js + Firebase Auth + Firestore en un proyecto nuevo.</t>
  </si>
  <si>
    <t xml:space="preserve">Bitácora §3</t>
  </si>
  <si>
    <t xml:space="preserve">HU-03</t>
  </si>
  <si>
    <t xml:space="preserve">Como plataforma, quiero un modelo de datos multitenant, para que cada empresa tenga sus datos aislados.</t>
  </si>
  <si>
    <t xml:space="preserve">Colecciones empresas, users, competidores y productos con id explícito y rol superadmin; validado por el PO.</t>
  </si>
  <si>
    <t xml:space="preserve">Bitácora §4 y §5</t>
  </si>
  <si>
    <t xml:space="preserve">HU-04</t>
  </si>
  <si>
    <t xml:space="preserve">Como desarrollador, quiero un proyecto Next.js con SDK de Firebase, para empezar a construir la app.</t>
  </si>
  <si>
    <t xml:space="preserve">tsc sin errores; build de producción exitoso; versión parchada 15.5.25.</t>
  </si>
  <si>
    <t xml:space="preserve">07-09-2026</t>
  </si>
  <si>
    <t xml:space="preserve">Bitácora §8</t>
  </si>
  <si>
    <t xml:space="preserve">HU-05</t>
  </si>
  <si>
    <t xml:space="preserve">Como equipo, quiero un proyecto Firebase de prueba, para validar el diseño con datos sintéticos.</t>
  </si>
  <si>
    <t xml:space="preserve">enci-intel-test con Auth (correo/contraseña), Firestore y empresas A y B con sus admins.</t>
  </si>
  <si>
    <t xml:space="preserve">09-09-2026</t>
  </si>
  <si>
    <t xml:space="preserve">Bitácora §9</t>
  </si>
  <si>
    <t xml:space="preserve">HU-06</t>
  </si>
  <si>
    <t xml:space="preserve">E2 Seguridad multitenant</t>
  </si>
  <si>
    <t xml:space="preserve">Como equipo, quiero datos sintéticos de competidores y productos, para probar el aislamiento.</t>
  </si>
  <si>
    <t xml:space="preserve">Un competidor y un producto por empresa, con relaciones correctas.</t>
  </si>
  <si>
    <t xml:space="preserve">Sprint 2</t>
  </si>
  <si>
    <t xml:space="preserve">16-09-2026</t>
  </si>
  <si>
    <t xml:space="preserve">Bitácora (16-09)</t>
  </si>
  <si>
    <t xml:space="preserve">HU-07</t>
  </si>
  <si>
    <t xml:space="preserve">Como empresa, quiero que ningún usuario de otra empresa acceda a mis datos, para proteger mi información.</t>
  </si>
  <si>
    <t xml:space="preserve">Reglas publicadas; pruebas en Emulator 10/10 (acceso cruzado, cambio de empresa, escalada a superadmin).</t>
  </si>
  <si>
    <t xml:space="preserve">HU-08</t>
  </si>
  <si>
    <t xml:space="preserve">E3 Autenticación y roles</t>
  </si>
  <si>
    <t xml:space="preserve">Como usuario, quiero iniciar sesión con correo y contraseña, para acceder a la información de mi empresa.</t>
  </si>
  <si>
    <t xml:space="preserve">Valida perfil, estado activo, rol y empresaId; redirige al Dashboard; muestra errores reales.</t>
  </si>
  <si>
    <t xml:space="preserve">23-09-2026</t>
  </si>
  <si>
    <t xml:space="preserve">Bitácora (23-09)</t>
  </si>
  <si>
    <t xml:space="preserve">HU-09</t>
  </si>
  <si>
    <t xml:space="preserve">Como equipo, quiero usuarios de prueba para cada rol, para validar permisos.</t>
  </si>
  <si>
    <t xml:space="preserve">Superadmin, admins A/B, gerencia y comercial creados y operativos.</t>
  </si>
  <si>
    <t xml:space="preserve">Sprint 3</t>
  </si>
  <si>
    <t xml:space="preserve">29-09-2026</t>
  </si>
  <si>
    <t xml:space="preserve">Bitácora §21</t>
  </si>
  <si>
    <t xml:space="preserve">HU-10</t>
  </si>
  <si>
    <t xml:space="preserve">Como superadmin, quiero entrar sin tener empresa asignada y ver todas las empresas, para administrar la plataforma.</t>
  </si>
  <si>
    <t xml:space="preserve">Login acepta empresaId = null; vista de empresas con selector; integrado en main.</t>
  </si>
  <si>
    <t xml:space="preserve">30-09-2026</t>
  </si>
  <si>
    <t xml:space="preserve">PR #1 (merge a113583); Bitácora §21, §23 y §24.1</t>
  </si>
  <si>
    <t xml:space="preserve">HU-11</t>
  </si>
  <si>
    <t xml:space="preserve">Como plataforma, quiero proteger rutas y vistas según el rol, para que cada usuario vea solo lo que le corresponde.</t>
  </si>
  <si>
    <t xml:space="preserve">Rutas protegidas; vistas diferenciadas por rol; sin acceso por URL directa.</t>
  </si>
  <si>
    <t xml:space="preserve">Pendiente</t>
  </si>
  <si>
    <t xml:space="preserve">—</t>
  </si>
  <si>
    <t xml:space="preserve">HU-12</t>
  </si>
  <si>
    <t xml:space="preserve">Como admin, quiero crear, editar y desactivar usuarios de mi empresa, para gestionar mi equipo sin ayuda externa.</t>
  </si>
  <si>
    <t xml:space="preserve">Alta, edición, asignación de rol y estado; solo roles de su empresa (según reglas).</t>
  </si>
  <si>
    <t xml:space="preserve">HU-13</t>
  </si>
  <si>
    <t xml:space="preserve">Como superadmin, quiero crear empresas y su primer admin, para incorporar clientes sin nuevo código.</t>
  </si>
  <si>
    <t xml:space="preserve">Alta de empresa y de su admin inicial; la nueva empresa queda aislada.</t>
  </si>
  <si>
    <t xml:space="preserve">Should</t>
  </si>
  <si>
    <t xml:space="preserve">HU-14</t>
  </si>
  <si>
    <t xml:space="preserve">E4 Dashboard</t>
  </si>
  <si>
    <t xml:space="preserve">Como usuario, quiero un Dashboard con la información de mi empresa, para ver el estado de la competencia.</t>
  </si>
  <si>
    <t xml:space="preserve">Muestra sesión, empresa, rol, competidores y productos del tenant.</t>
  </si>
  <si>
    <t xml:space="preserve">HU-15</t>
  </si>
  <si>
    <t xml:space="preserve">Como otros equipos, queremos un layout con navegación y espacios para KPIs y alertas, para conectar nuestros datos.</t>
  </si>
  <si>
    <t xml:space="preserve">Layout, navegación, estructura de KPIs y estados de carga listos para integración.</t>
  </si>
  <si>
    <t xml:space="preserve">HU-16</t>
  </si>
  <si>
    <t xml:space="preserve">E5 Competidores y productos</t>
  </si>
  <si>
    <t xml:space="preserve">Como usuario, quiero ver los competidores de mi empresa, para conocer mi competencia.</t>
  </si>
  <si>
    <t xml:space="preserve">Listado filtrado por empresaId.</t>
  </si>
  <si>
    <t xml:space="preserve">HU-17</t>
  </si>
  <si>
    <t xml:space="preserve">Como usuario, quiero buscar y filtrar competidores, para encontrar rápido la información.</t>
  </si>
  <si>
    <t xml:space="preserve">Búsqueda por nombre o tipo sin distinguir tildes; filtro por estado.</t>
  </si>
  <si>
    <t xml:space="preserve">HU-18</t>
  </si>
  <si>
    <t xml:space="preserve">Como admin, quiero crear competidores de mi empresa, para mantener actualizada mi base.</t>
  </si>
  <si>
    <t xml:space="preserve">Formulario para admin y superadmin (en la empresa seleccionada); gerencia y comercial sin formulario; id = ID del documento; empresaId del tenant; pruebas 4/4 de roles y aislamiento.</t>
  </si>
  <si>
    <t xml:space="preserve">02-10-2026</t>
  </si>
  <si>
    <t xml:space="preserve">PR #2 (commit 1d25fa9); Bitácora §24.3 y §26; Evidencias_Scrum</t>
  </si>
  <si>
    <t xml:space="preserve">HU-19</t>
  </si>
  <si>
    <t xml:space="preserve">Como admin, quiero registrar y editar los productos de cada competidor con categoría y precio, para comparar la oferta.</t>
  </si>
  <si>
    <t xml:space="preserve">Alta, edición y desactivación; precio en CLP opcional y no negativo; respeta reglas por competidor.</t>
  </si>
  <si>
    <t xml:space="preserve">Por hacer</t>
  </si>
  <si>
    <t xml:space="preserve">HU-20</t>
  </si>
  <si>
    <t xml:space="preserve">E6 Entorno y despliegue</t>
  </si>
  <si>
    <t xml:space="preserve">Como equipo, queremos la app desplegada en Vercel, para compartir un entorno de prueba.</t>
  </si>
  <si>
    <t xml:space="preserve">Repo conectado; Root Directory = enci-intel-app (antes Prueba); variables de Firebase en Production y Preview; dominio autorizado.</t>
  </si>
  <si>
    <t xml:space="preserve">HU-21</t>
  </si>
  <si>
    <t xml:space="preserve">Como desarrollador sin permisos de instalación, quiero un entorno Vercel personal con Preview por rama, para probar sin afectar producción.</t>
  </si>
  <si>
    <t xml:space="preserve">Fork + Vercel Hobby; 6 variables en Production, Preview y Development; flujo desde el navegador.</t>
  </si>
  <si>
    <t xml:space="preserve">Bitácora §20</t>
  </si>
  <si>
    <t xml:space="preserve">HU-22</t>
  </si>
  <si>
    <t xml:space="preserve">Como stakeholder, quiero recibir accesos de prueba, para revisar el avance.</t>
  </si>
  <si>
    <t xml:space="preserve">URL y un usuario por rol enviados a Karina y Emi por mensaje privado.</t>
  </si>
  <si>
    <t xml:space="preserve">HU-23</t>
  </si>
  <si>
    <t xml:space="preserve">Como equipo, queremos el proyecto en Docker, para cumplir el Hito 2.</t>
  </si>
  <si>
    <t xml:space="preserve">Proyecto completo levantado con Docker.</t>
  </si>
  <si>
    <t xml:space="preserve">Hito 2 (26-10 al 31-10)</t>
  </si>
  <si>
    <t xml:space="preserve">HU-24</t>
  </si>
  <si>
    <t xml:space="preserve">Como empresa, quiero definir dónde se registran mis reportes, para que los agentes de otros equipos los generen.</t>
  </si>
  <si>
    <t xml:space="preserve">Estructura de reportes definida en el modelo y acordada con los equipos 2 y 3.</t>
  </si>
  <si>
    <t xml:space="preserve">Could</t>
  </si>
  <si>
    <t xml:space="preserve">HU-25</t>
  </si>
  <si>
    <t xml:space="preserve">E7 Documentación y coordinación</t>
  </si>
  <si>
    <t xml:space="preserve">Como equipo, queremos formalizar el campo estado en competidores y productos, para que el modelo coincida con la app.</t>
  </si>
  <si>
    <t xml:space="preserve">Modelo de datos actualizado en la bitácora, incluyendo estado y creado_en.</t>
  </si>
  <si>
    <t xml:space="preserve">Bitácora §22</t>
  </si>
  <si>
    <t xml:space="preserve">HU-26</t>
  </si>
  <si>
    <t xml:space="preserve">Como equipo, queremos comparar nuestro diseño multitenant con el borrador del PO, para alinear decisiones.</t>
  </si>
  <si>
    <t xml:space="preserve">Comparación documentada una vez recibido el borrador.</t>
  </si>
  <si>
    <t xml:space="preserve">Pendiente de recepción</t>
  </si>
  <si>
    <t xml:space="preserve">HU-27</t>
  </si>
  <si>
    <t xml:space="preserve">Como equipo, queremos definir el uso de Corestream en la arquitectura, para decidir si se incorpora.</t>
  </si>
  <si>
    <t xml:space="preserve">Uso técnico acordado y documentado.</t>
  </si>
  <si>
    <t xml:space="preserve">Bitácora §13</t>
  </si>
  <si>
    <t xml:space="preserve">HU-28</t>
  </si>
  <si>
    <t xml:space="preserve">Como equipo, queremos una guía de trabajo colaborativo, para trabajar por ramas y PR sin romper main.</t>
  </si>
  <si>
    <t xml:space="preserve">Guía de ramas, PR y Vercel documentada.</t>
  </si>
  <si>
    <t xml:space="preserve">Bitácora §18</t>
  </si>
  <si>
    <t xml:space="preserve">HU-29</t>
  </si>
  <si>
    <t xml:space="preserve">Como admin, quiero editar y desactivar competidores, para corregir datos sin perder historial.</t>
  </si>
  <si>
    <t xml:space="preserve">Edición de nombre y tipo; desactivación por estado (sin borrado); mismos permisos y aislamiento que el alta.</t>
  </si>
  <si>
    <t xml:space="preserve">HU-30</t>
  </si>
  <si>
    <t xml:space="preserve">Como equipo, queremos un set de datos de prueba realista de competidores y productos, para probar el MVP sin depender de datos reales del cliente.</t>
  </si>
  <si>
    <t xml:space="preserve">9 competidores y 19 productos ficticios para empresa_a y empresa_b; casos borde; script validar/cargar/verificar/borrar; 12 casos de prueba documentados.</t>
  </si>
  <si>
    <t xml:space="preserve">En progreso</t>
  </si>
  <si>
    <t xml:space="preserve">PR feat/datos-prueba; Bitácora §27 y §28; Datos_de_Prueba.xlsx</t>
  </si>
  <si>
    <t xml:space="preserve">Resumen del Product Backlog</t>
  </si>
  <si>
    <t xml:space="preserve">Todas las cifras se calculan con fórmulas desde la hoja Product Backlog.</t>
  </si>
  <si>
    <t xml:space="preserve">N° ítems</t>
  </si>
  <si>
    <t xml:space="preserve">Story points</t>
  </si>
  <si>
    <t xml:space="preserve">En revisión</t>
  </si>
  <si>
    <t xml:space="preserve">Total</t>
  </si>
  <si>
    <t xml:space="preserve">% avance (SP terminados / SP totales)</t>
  </si>
  <si>
    <t xml:space="preserve">SP comprometidos</t>
  </si>
  <si>
    <t xml:space="preserve">SP terminados</t>
  </si>
  <si>
    <t xml:space="preserve">% cumplimiento</t>
  </si>
  <si>
    <t xml:space="preserve">Sin sprint (backlog)</t>
  </si>
  <si>
    <t xml:space="preserve">Nota: el Sprint 3 está en curso (corte 02-10-2026).</t>
  </si>
  <si>
    <t xml:space="preserve">Leyenda</t>
  </si>
  <si>
    <t xml:space="preserve">Significado</t>
  </si>
  <si>
    <t xml:space="preserve">Cumple la Definition of Done (ver Definition_of_Done.docx).</t>
  </si>
  <si>
    <t xml:space="preserve">Desarrollado y probado; esperando merge del Pull Request.</t>
  </si>
  <si>
    <t xml:space="preserve">En desarrollo durante el sprint.</t>
  </si>
  <si>
    <t xml:space="preserve">Comprometido en el sprint, aún no iniciado.</t>
  </si>
  <si>
    <t xml:space="preserve">En el Product Backlog, sin sprint asignado.</t>
  </si>
  <si>
    <t xml:space="preserve">Prioridad</t>
  </si>
  <si>
    <t xml:space="preserve">Imprescindible para el objetivo del hito.</t>
  </si>
  <si>
    <t xml:space="preserve">Importante, no bloqueante.</t>
  </si>
  <si>
    <t xml:space="preserve">Deseable si hay capacidad.</t>
  </si>
  <si>
    <t xml:space="preserve">Won't</t>
  </si>
  <si>
    <t xml:space="preserve">Fuera de esta versión.</t>
  </si>
  <si>
    <t xml:space="preserve">Cómo usar</t>
  </si>
  <si>
    <t xml:space="preserve">Cambiar solo las columnas Sprint, Estado, Fecha de cierre y Evidencia de la hoja Product Backlog; la hoja Resumen se actualiza sola.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</si>
</sst>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DAA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F5DA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>
          <bgColor rgb="FFE6F4EA"/>
        </patternFill>
      </fill>
    </dxf>
    <dxf>
      <fill>
        <patternFill>
          <bgColor rgb="FFFFF4D6"/>
        </patternFill>
      </fill>
    </dxf>
    <dxf>
      <fill>
        <patternFill>
          <bgColor rgb="FFF3F3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D6"/>
      <rgbColor rgb="FFE6F4EA"/>
      <rgbColor rgb="FF660066"/>
      <rgbColor rgb="FFFF8080"/>
      <rgbColor rgb="FF2F5DA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48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3.85" hidden="false" customHeight="false" outlineLevel="0" collapsed="false">
      <c r="A5" s="4" t="s">
        <v>12</v>
      </c>
      <c r="B5" s="5" t="s">
        <v>13</v>
      </c>
      <c r="C5" s="5" t="s">
        <v>14</v>
      </c>
      <c r="D5" s="5" t="s">
        <v>15</v>
      </c>
      <c r="E5" s="4" t="s">
        <v>16</v>
      </c>
      <c r="F5" s="4" t="n">
        <v>2</v>
      </c>
      <c r="G5" s="4" t="s">
        <v>17</v>
      </c>
      <c r="H5" s="4" t="s">
        <v>18</v>
      </c>
      <c r="I5" s="4" t="s">
        <v>19</v>
      </c>
      <c r="J5" s="5" t="s">
        <v>20</v>
      </c>
    </row>
    <row r="6" customFormat="false" ht="23.85" hidden="false" customHeight="false" outlineLevel="0" collapsed="false">
      <c r="A6" s="4" t="s">
        <v>21</v>
      </c>
      <c r="B6" s="5" t="s">
        <v>13</v>
      </c>
      <c r="C6" s="5" t="s">
        <v>22</v>
      </c>
      <c r="D6" s="5" t="s">
        <v>23</v>
      </c>
      <c r="E6" s="4" t="s">
        <v>16</v>
      </c>
      <c r="F6" s="4" t="n">
        <v>1</v>
      </c>
      <c r="G6" s="4" t="s">
        <v>17</v>
      </c>
      <c r="H6" s="4" t="s">
        <v>18</v>
      </c>
      <c r="I6" s="4" t="s">
        <v>19</v>
      </c>
      <c r="J6" s="5" t="s">
        <v>24</v>
      </c>
    </row>
    <row r="7" customFormat="false" ht="35.05" hidden="false" customHeight="false" outlineLevel="0" collapsed="false">
      <c r="A7" s="4" t="s">
        <v>25</v>
      </c>
      <c r="B7" s="5" t="s">
        <v>13</v>
      </c>
      <c r="C7" s="5" t="s">
        <v>26</v>
      </c>
      <c r="D7" s="5" t="s">
        <v>27</v>
      </c>
      <c r="E7" s="4" t="s">
        <v>16</v>
      </c>
      <c r="F7" s="4" t="n">
        <v>5</v>
      </c>
      <c r="G7" s="4" t="s">
        <v>17</v>
      </c>
      <c r="H7" s="4" t="s">
        <v>18</v>
      </c>
      <c r="I7" s="4" t="s">
        <v>19</v>
      </c>
      <c r="J7" s="5" t="s">
        <v>28</v>
      </c>
    </row>
    <row r="8" customFormat="false" ht="23.85" hidden="false" customHeight="false" outlineLevel="0" collapsed="false">
      <c r="A8" s="4" t="s">
        <v>29</v>
      </c>
      <c r="B8" s="5" t="s">
        <v>13</v>
      </c>
      <c r="C8" s="5" t="s">
        <v>30</v>
      </c>
      <c r="D8" s="5" t="s">
        <v>31</v>
      </c>
      <c r="E8" s="4" t="s">
        <v>16</v>
      </c>
      <c r="F8" s="4" t="n">
        <v>3</v>
      </c>
      <c r="G8" s="4" t="s">
        <v>17</v>
      </c>
      <c r="H8" s="4" t="s">
        <v>18</v>
      </c>
      <c r="I8" s="4" t="s">
        <v>32</v>
      </c>
      <c r="J8" s="5" t="s">
        <v>33</v>
      </c>
    </row>
    <row r="9" customFormat="false" ht="23.85" hidden="false" customHeight="false" outlineLevel="0" collapsed="false">
      <c r="A9" s="4" t="s">
        <v>34</v>
      </c>
      <c r="B9" s="5" t="s">
        <v>13</v>
      </c>
      <c r="C9" s="5" t="s">
        <v>35</v>
      </c>
      <c r="D9" s="5" t="s">
        <v>36</v>
      </c>
      <c r="E9" s="4" t="s">
        <v>16</v>
      </c>
      <c r="F9" s="4" t="n">
        <v>3</v>
      </c>
      <c r="G9" s="4" t="s">
        <v>17</v>
      </c>
      <c r="H9" s="4" t="s">
        <v>18</v>
      </c>
      <c r="I9" s="4" t="s">
        <v>37</v>
      </c>
      <c r="J9" s="5" t="s">
        <v>38</v>
      </c>
    </row>
    <row r="10" customFormat="false" ht="23.85" hidden="false" customHeight="false" outlineLevel="0" collapsed="false">
      <c r="A10" s="4" t="s">
        <v>39</v>
      </c>
      <c r="B10" s="5" t="s">
        <v>40</v>
      </c>
      <c r="C10" s="5" t="s">
        <v>41</v>
      </c>
      <c r="D10" s="5" t="s">
        <v>42</v>
      </c>
      <c r="E10" s="4" t="s">
        <v>16</v>
      </c>
      <c r="F10" s="4" t="n">
        <v>2</v>
      </c>
      <c r="G10" s="4" t="s">
        <v>43</v>
      </c>
      <c r="H10" s="4" t="s">
        <v>18</v>
      </c>
      <c r="I10" s="4" t="s">
        <v>44</v>
      </c>
      <c r="J10" s="5" t="s">
        <v>45</v>
      </c>
    </row>
    <row r="11" customFormat="false" ht="35.05" hidden="false" customHeight="false" outlineLevel="0" collapsed="false">
      <c r="A11" s="4" t="s">
        <v>46</v>
      </c>
      <c r="B11" s="5" t="s">
        <v>40</v>
      </c>
      <c r="C11" s="5" t="s">
        <v>47</v>
      </c>
      <c r="D11" s="5" t="s">
        <v>48</v>
      </c>
      <c r="E11" s="4" t="s">
        <v>16</v>
      </c>
      <c r="F11" s="4" t="n">
        <v>8</v>
      </c>
      <c r="G11" s="4" t="s">
        <v>43</v>
      </c>
      <c r="H11" s="4" t="s">
        <v>18</v>
      </c>
      <c r="I11" s="4" t="s">
        <v>44</v>
      </c>
      <c r="J11" s="5" t="s">
        <v>45</v>
      </c>
    </row>
    <row r="12" customFormat="false" ht="23.85" hidden="false" customHeight="false" outlineLevel="0" collapsed="false">
      <c r="A12" s="4" t="s">
        <v>49</v>
      </c>
      <c r="B12" s="5" t="s">
        <v>50</v>
      </c>
      <c r="C12" s="5" t="s">
        <v>51</v>
      </c>
      <c r="D12" s="5" t="s">
        <v>52</v>
      </c>
      <c r="E12" s="4" t="s">
        <v>16</v>
      </c>
      <c r="F12" s="4" t="n">
        <v>5</v>
      </c>
      <c r="G12" s="4" t="s">
        <v>43</v>
      </c>
      <c r="H12" s="4" t="s">
        <v>18</v>
      </c>
      <c r="I12" s="4" t="s">
        <v>53</v>
      </c>
      <c r="J12" s="5" t="s">
        <v>54</v>
      </c>
    </row>
    <row r="13" customFormat="false" ht="23.85" hidden="false" customHeight="false" outlineLevel="0" collapsed="false">
      <c r="A13" s="4" t="s">
        <v>55</v>
      </c>
      <c r="B13" s="5" t="s">
        <v>50</v>
      </c>
      <c r="C13" s="5" t="s">
        <v>56</v>
      </c>
      <c r="D13" s="5" t="s">
        <v>57</v>
      </c>
      <c r="E13" s="4" t="s">
        <v>16</v>
      </c>
      <c r="F13" s="4" t="n">
        <v>2</v>
      </c>
      <c r="G13" s="4" t="s">
        <v>58</v>
      </c>
      <c r="H13" s="4" t="s">
        <v>18</v>
      </c>
      <c r="I13" s="4" t="s">
        <v>59</v>
      </c>
      <c r="J13" s="5" t="s">
        <v>60</v>
      </c>
    </row>
    <row r="14" customFormat="false" ht="35.05" hidden="false" customHeight="false" outlineLevel="0" collapsed="false">
      <c r="A14" s="4" t="s">
        <v>61</v>
      </c>
      <c r="B14" s="5" t="s">
        <v>50</v>
      </c>
      <c r="C14" s="5" t="s">
        <v>62</v>
      </c>
      <c r="D14" s="5" t="s">
        <v>63</v>
      </c>
      <c r="E14" s="4" t="s">
        <v>16</v>
      </c>
      <c r="F14" s="4" t="n">
        <v>3</v>
      </c>
      <c r="G14" s="4" t="s">
        <v>58</v>
      </c>
      <c r="H14" s="4" t="s">
        <v>18</v>
      </c>
      <c r="I14" s="4" t="s">
        <v>64</v>
      </c>
      <c r="J14" s="5" t="s">
        <v>65</v>
      </c>
    </row>
    <row r="15" customFormat="false" ht="23.85" hidden="false" customHeight="false" outlineLevel="0" collapsed="false">
      <c r="A15" s="4" t="s">
        <v>66</v>
      </c>
      <c r="B15" s="5" t="s">
        <v>50</v>
      </c>
      <c r="C15" s="5" t="s">
        <v>67</v>
      </c>
      <c r="D15" s="5" t="s">
        <v>68</v>
      </c>
      <c r="E15" s="4" t="s">
        <v>16</v>
      </c>
      <c r="F15" s="4" t="n">
        <v>5</v>
      </c>
      <c r="G15" s="4"/>
      <c r="H15" s="4" t="s">
        <v>69</v>
      </c>
      <c r="I15" s="4"/>
      <c r="J15" s="5" t="s">
        <v>70</v>
      </c>
    </row>
    <row r="16" customFormat="false" ht="23.85" hidden="false" customHeight="false" outlineLevel="0" collapsed="false">
      <c r="A16" s="4" t="s">
        <v>71</v>
      </c>
      <c r="B16" s="5" t="s">
        <v>50</v>
      </c>
      <c r="C16" s="5" t="s">
        <v>72</v>
      </c>
      <c r="D16" s="5" t="s">
        <v>73</v>
      </c>
      <c r="E16" s="4" t="s">
        <v>16</v>
      </c>
      <c r="F16" s="4" t="n">
        <v>8</v>
      </c>
      <c r="G16" s="4"/>
      <c r="H16" s="4" t="s">
        <v>69</v>
      </c>
      <c r="I16" s="4"/>
      <c r="J16" s="5" t="s">
        <v>70</v>
      </c>
    </row>
    <row r="17" customFormat="false" ht="23.85" hidden="false" customHeight="false" outlineLevel="0" collapsed="false">
      <c r="A17" s="4" t="s">
        <v>74</v>
      </c>
      <c r="B17" s="5" t="s">
        <v>50</v>
      </c>
      <c r="C17" s="5" t="s">
        <v>75</v>
      </c>
      <c r="D17" s="5" t="s">
        <v>76</v>
      </c>
      <c r="E17" s="4" t="s">
        <v>77</v>
      </c>
      <c r="F17" s="4" t="n">
        <v>5</v>
      </c>
      <c r="G17" s="4"/>
      <c r="H17" s="4" t="s">
        <v>69</v>
      </c>
      <c r="I17" s="4"/>
      <c r="J17" s="5" t="s">
        <v>70</v>
      </c>
    </row>
    <row r="18" customFormat="false" ht="23.85" hidden="false" customHeight="false" outlineLevel="0" collapsed="false">
      <c r="A18" s="4" t="s">
        <v>78</v>
      </c>
      <c r="B18" s="5" t="s">
        <v>79</v>
      </c>
      <c r="C18" s="5" t="s">
        <v>80</v>
      </c>
      <c r="D18" s="5" t="s">
        <v>81</v>
      </c>
      <c r="E18" s="4" t="s">
        <v>16</v>
      </c>
      <c r="F18" s="4" t="n">
        <v>3</v>
      </c>
      <c r="G18" s="4" t="s">
        <v>43</v>
      </c>
      <c r="H18" s="4" t="s">
        <v>18</v>
      </c>
      <c r="I18" s="4" t="s">
        <v>53</v>
      </c>
      <c r="J18" s="5" t="s">
        <v>54</v>
      </c>
    </row>
    <row r="19" customFormat="false" ht="35.05" hidden="false" customHeight="false" outlineLevel="0" collapsed="false">
      <c r="A19" s="4" t="s">
        <v>82</v>
      </c>
      <c r="B19" s="5" t="s">
        <v>79</v>
      </c>
      <c r="C19" s="5" t="s">
        <v>83</v>
      </c>
      <c r="D19" s="5" t="s">
        <v>84</v>
      </c>
      <c r="E19" s="4" t="s">
        <v>77</v>
      </c>
      <c r="F19" s="4" t="n">
        <v>8</v>
      </c>
      <c r="G19" s="4"/>
      <c r="H19" s="4" t="s">
        <v>69</v>
      </c>
      <c r="I19" s="4"/>
      <c r="J19" s="5" t="s">
        <v>70</v>
      </c>
    </row>
    <row r="20" customFormat="false" ht="23.85" hidden="false" customHeight="false" outlineLevel="0" collapsed="false">
      <c r="A20" s="4" t="s">
        <v>85</v>
      </c>
      <c r="B20" s="5" t="s">
        <v>86</v>
      </c>
      <c r="C20" s="5" t="s">
        <v>87</v>
      </c>
      <c r="D20" s="5" t="s">
        <v>88</v>
      </c>
      <c r="E20" s="4" t="s">
        <v>16</v>
      </c>
      <c r="F20" s="4" t="n">
        <v>2</v>
      </c>
      <c r="G20" s="4" t="s">
        <v>43</v>
      </c>
      <c r="H20" s="4" t="s">
        <v>18</v>
      </c>
      <c r="I20" s="4" t="s">
        <v>53</v>
      </c>
      <c r="J20" s="5" t="s">
        <v>54</v>
      </c>
    </row>
    <row r="21" customFormat="false" ht="23.85" hidden="false" customHeight="false" outlineLevel="0" collapsed="false">
      <c r="A21" s="4" t="s">
        <v>89</v>
      </c>
      <c r="B21" s="5" t="s">
        <v>86</v>
      </c>
      <c r="C21" s="5" t="s">
        <v>90</v>
      </c>
      <c r="D21" s="5" t="s">
        <v>91</v>
      </c>
      <c r="E21" s="4" t="s">
        <v>77</v>
      </c>
      <c r="F21" s="4" t="n">
        <v>3</v>
      </c>
      <c r="G21" s="4"/>
      <c r="H21" s="4" t="s">
        <v>69</v>
      </c>
      <c r="I21" s="4"/>
      <c r="J21" s="5" t="s">
        <v>70</v>
      </c>
    </row>
    <row r="22" customFormat="false" ht="46.25" hidden="false" customHeight="false" outlineLevel="0" collapsed="false">
      <c r="A22" s="4" t="s">
        <v>92</v>
      </c>
      <c r="B22" s="5" t="s">
        <v>86</v>
      </c>
      <c r="C22" s="5" t="s">
        <v>93</v>
      </c>
      <c r="D22" s="5" t="s">
        <v>94</v>
      </c>
      <c r="E22" s="4" t="s">
        <v>16</v>
      </c>
      <c r="F22" s="4" t="n">
        <v>5</v>
      </c>
      <c r="G22" s="4" t="s">
        <v>58</v>
      </c>
      <c r="H22" s="4" t="s">
        <v>18</v>
      </c>
      <c r="I22" s="4" t="s">
        <v>95</v>
      </c>
      <c r="J22" s="5" t="s">
        <v>96</v>
      </c>
    </row>
    <row r="23" customFormat="false" ht="35.05" hidden="false" customHeight="false" outlineLevel="0" collapsed="false">
      <c r="A23" s="4" t="s">
        <v>97</v>
      </c>
      <c r="B23" s="5" t="s">
        <v>86</v>
      </c>
      <c r="C23" s="5" t="s">
        <v>98</v>
      </c>
      <c r="D23" s="5" t="s">
        <v>99</v>
      </c>
      <c r="E23" s="4" t="s">
        <v>16</v>
      </c>
      <c r="F23" s="4" t="n">
        <v>5</v>
      </c>
      <c r="G23" s="4" t="s">
        <v>58</v>
      </c>
      <c r="H23" s="4" t="s">
        <v>100</v>
      </c>
      <c r="I23" s="4"/>
      <c r="J23" s="5" t="s">
        <v>70</v>
      </c>
    </row>
    <row r="24" customFormat="false" ht="35.05" hidden="false" customHeight="false" outlineLevel="0" collapsed="false">
      <c r="A24" s="4" t="s">
        <v>101</v>
      </c>
      <c r="B24" s="5" t="s">
        <v>102</v>
      </c>
      <c r="C24" s="5" t="s">
        <v>103</v>
      </c>
      <c r="D24" s="5" t="s">
        <v>104</v>
      </c>
      <c r="E24" s="4" t="s">
        <v>16</v>
      </c>
      <c r="F24" s="4" t="n">
        <v>3</v>
      </c>
      <c r="G24" s="4" t="s">
        <v>43</v>
      </c>
      <c r="H24" s="4" t="s">
        <v>18</v>
      </c>
      <c r="I24" s="4" t="s">
        <v>53</v>
      </c>
      <c r="J24" s="5" t="s">
        <v>54</v>
      </c>
    </row>
    <row r="25" customFormat="false" ht="35.05" hidden="false" customHeight="false" outlineLevel="0" collapsed="false">
      <c r="A25" s="4" t="s">
        <v>105</v>
      </c>
      <c r="B25" s="5" t="s">
        <v>102</v>
      </c>
      <c r="C25" s="5" t="s">
        <v>106</v>
      </c>
      <c r="D25" s="5" t="s">
        <v>107</v>
      </c>
      <c r="E25" s="4" t="s">
        <v>77</v>
      </c>
      <c r="F25" s="4" t="n">
        <v>3</v>
      </c>
      <c r="G25" s="4" t="s">
        <v>58</v>
      </c>
      <c r="H25" s="4" t="s">
        <v>18</v>
      </c>
      <c r="I25" s="4" t="s">
        <v>59</v>
      </c>
      <c r="J25" s="5" t="s">
        <v>108</v>
      </c>
    </row>
    <row r="26" customFormat="false" ht="23.85" hidden="false" customHeight="false" outlineLevel="0" collapsed="false">
      <c r="A26" s="4" t="s">
        <v>109</v>
      </c>
      <c r="B26" s="5" t="s">
        <v>102</v>
      </c>
      <c r="C26" s="5" t="s">
        <v>110</v>
      </c>
      <c r="D26" s="5" t="s">
        <v>111</v>
      </c>
      <c r="E26" s="4" t="s">
        <v>16</v>
      </c>
      <c r="F26" s="4" t="n">
        <v>1</v>
      </c>
      <c r="G26" s="4" t="s">
        <v>58</v>
      </c>
      <c r="H26" s="4" t="s">
        <v>100</v>
      </c>
      <c r="I26" s="4"/>
      <c r="J26" s="5" t="s">
        <v>70</v>
      </c>
    </row>
    <row r="27" customFormat="false" ht="23.85" hidden="false" customHeight="false" outlineLevel="0" collapsed="false">
      <c r="A27" s="4" t="s">
        <v>112</v>
      </c>
      <c r="B27" s="5" t="s">
        <v>102</v>
      </c>
      <c r="C27" s="5" t="s">
        <v>113</v>
      </c>
      <c r="D27" s="5" t="s">
        <v>114</v>
      </c>
      <c r="E27" s="4" t="s">
        <v>16</v>
      </c>
      <c r="F27" s="4" t="n">
        <v>8</v>
      </c>
      <c r="G27" s="4"/>
      <c r="H27" s="4" t="s">
        <v>69</v>
      </c>
      <c r="I27" s="4"/>
      <c r="J27" s="5" t="s">
        <v>115</v>
      </c>
    </row>
    <row r="28" customFormat="false" ht="35.05" hidden="false" customHeight="false" outlineLevel="0" collapsed="false">
      <c r="A28" s="4" t="s">
        <v>116</v>
      </c>
      <c r="B28" s="5" t="s">
        <v>86</v>
      </c>
      <c r="C28" s="5" t="s">
        <v>117</v>
      </c>
      <c r="D28" s="5" t="s">
        <v>118</v>
      </c>
      <c r="E28" s="4" t="s">
        <v>119</v>
      </c>
      <c r="F28" s="4" t="n">
        <v>5</v>
      </c>
      <c r="G28" s="4"/>
      <c r="H28" s="4" t="s">
        <v>69</v>
      </c>
      <c r="I28" s="4"/>
      <c r="J28" s="5" t="s">
        <v>70</v>
      </c>
    </row>
    <row r="29" customFormat="false" ht="35.05" hidden="false" customHeight="false" outlineLevel="0" collapsed="false">
      <c r="A29" s="4" t="s">
        <v>120</v>
      </c>
      <c r="B29" s="5" t="s">
        <v>121</v>
      </c>
      <c r="C29" s="5" t="s">
        <v>122</v>
      </c>
      <c r="D29" s="5" t="s">
        <v>123</v>
      </c>
      <c r="E29" s="4" t="s">
        <v>77</v>
      </c>
      <c r="F29" s="4" t="n">
        <v>1</v>
      </c>
      <c r="G29" s="4"/>
      <c r="H29" s="4" t="s">
        <v>69</v>
      </c>
      <c r="I29" s="4"/>
      <c r="J29" s="5" t="s">
        <v>124</v>
      </c>
    </row>
    <row r="30" customFormat="false" ht="35.05" hidden="false" customHeight="false" outlineLevel="0" collapsed="false">
      <c r="A30" s="4" t="s">
        <v>125</v>
      </c>
      <c r="B30" s="5" t="s">
        <v>121</v>
      </c>
      <c r="C30" s="5" t="s">
        <v>126</v>
      </c>
      <c r="D30" s="5" t="s">
        <v>127</v>
      </c>
      <c r="E30" s="4" t="s">
        <v>77</v>
      </c>
      <c r="F30" s="4" t="n">
        <v>2</v>
      </c>
      <c r="G30" s="4"/>
      <c r="H30" s="4" t="s">
        <v>69</v>
      </c>
      <c r="I30" s="4"/>
      <c r="J30" s="5" t="s">
        <v>128</v>
      </c>
    </row>
    <row r="31" customFormat="false" ht="23.85" hidden="false" customHeight="false" outlineLevel="0" collapsed="false">
      <c r="A31" s="4" t="s">
        <v>129</v>
      </c>
      <c r="B31" s="5" t="s">
        <v>121</v>
      </c>
      <c r="C31" s="5" t="s">
        <v>130</v>
      </c>
      <c r="D31" s="5" t="s">
        <v>131</v>
      </c>
      <c r="E31" s="4" t="s">
        <v>119</v>
      </c>
      <c r="F31" s="4" t="n">
        <v>2</v>
      </c>
      <c r="G31" s="4"/>
      <c r="H31" s="4" t="s">
        <v>69</v>
      </c>
      <c r="I31" s="4"/>
      <c r="J31" s="5" t="s">
        <v>132</v>
      </c>
    </row>
    <row r="32" customFormat="false" ht="23.85" hidden="false" customHeight="false" outlineLevel="0" collapsed="false">
      <c r="A32" s="4" t="s">
        <v>133</v>
      </c>
      <c r="B32" s="5" t="s">
        <v>121</v>
      </c>
      <c r="C32" s="5" t="s">
        <v>134</v>
      </c>
      <c r="D32" s="5" t="s">
        <v>135</v>
      </c>
      <c r="E32" s="4" t="s">
        <v>77</v>
      </c>
      <c r="F32" s="4" t="n">
        <v>2</v>
      </c>
      <c r="G32" s="4" t="s">
        <v>43</v>
      </c>
      <c r="H32" s="4" t="s">
        <v>18</v>
      </c>
      <c r="I32" s="4" t="s">
        <v>53</v>
      </c>
      <c r="J32" s="5" t="s">
        <v>136</v>
      </c>
    </row>
    <row r="33" customFormat="false" ht="35.05" hidden="false" customHeight="false" outlineLevel="0" collapsed="false">
      <c r="A33" s="4" t="s">
        <v>137</v>
      </c>
      <c r="B33" s="5" t="s">
        <v>86</v>
      </c>
      <c r="C33" s="5" t="s">
        <v>138</v>
      </c>
      <c r="D33" s="5" t="s">
        <v>139</v>
      </c>
      <c r="E33" s="4" t="s">
        <v>16</v>
      </c>
      <c r="F33" s="4" t="n">
        <v>3</v>
      </c>
      <c r="G33" s="4" t="s">
        <v>58</v>
      </c>
      <c r="H33" s="4" t="s">
        <v>100</v>
      </c>
      <c r="I33" s="4"/>
      <c r="J33" s="5" t="s">
        <v>70</v>
      </c>
    </row>
    <row r="34" customFormat="false" ht="46.25" hidden="false" customHeight="false" outlineLevel="0" collapsed="false">
      <c r="A34" s="4" t="s">
        <v>140</v>
      </c>
      <c r="B34" s="5" t="s">
        <v>121</v>
      </c>
      <c r="C34" s="5" t="s">
        <v>141</v>
      </c>
      <c r="D34" s="5" t="s">
        <v>142</v>
      </c>
      <c r="E34" s="4" t="s">
        <v>16</v>
      </c>
      <c r="F34" s="4" t="n">
        <v>3</v>
      </c>
      <c r="G34" s="4" t="s">
        <v>58</v>
      </c>
      <c r="H34" s="4" t="s">
        <v>143</v>
      </c>
      <c r="I34" s="4"/>
      <c r="J34" s="5" t="s">
        <v>144</v>
      </c>
    </row>
  </sheetData>
  <autoFilter ref="A4:J34"/>
  <conditionalFormatting sqref="H5:H34">
    <cfRule type="expression" priority="2" aboveAverage="0" equalAverage="0" bottom="0" percent="0" rank="0" text="" dxfId="6">
      <formula>$H5="Terminado"</formula>
    </cfRule>
    <cfRule type="expression" priority="3" aboveAverage="0" equalAverage="0" bottom="0" percent="0" rank="0" text="" dxfId="7">
      <formula>$H5="En progreso"</formula>
    </cfRule>
    <cfRule type="expression" priority="4" aboveAverage="0" equalAverage="0" bottom="0" percent="0" rank="0" text="" dxfId="7">
      <formula>$H5="En revisión"</formula>
    </cfRule>
    <cfRule type="expression" priority="5" aboveAverage="0" equalAverage="0" bottom="0" percent="0" rank="0" text="" dxfId="8">
      <formula>$H5="Por hacer"</formula>
    </cfRule>
    <cfRule type="expression" priority="6" aboveAverage="0" equalAverage="0" bottom="0" percent="0" rank="0" text="" dxfId="8">
      <formula>$H5="Pendiente"</formula>
    </cfRule>
  </conditionalFormatting>
  <dataValidations count="3">
    <dataValidation allowBlank="true" errorStyle="stop" operator="between" showDropDown="false" showErrorMessage="false" showInputMessage="false" sqref="H5:H34" type="list">
      <formula1>"Por hacer,En progreso,En revisión,Terminado,Pendiente"</formula1>
      <formula2>0</formula2>
    </dataValidation>
    <dataValidation allowBlank="true" errorStyle="stop" operator="between" showDropDown="false" showErrorMessage="false" showInputMessage="false" sqref="G5:G34" type="list">
      <formula1>"Sprint 1,Sprint 2,Sprint 3"</formula1>
      <formula2>0</formula2>
    </dataValidation>
    <dataValidation allowBlank="true" errorStyle="stop" operator="between" showDropDown="false" showErrorMessage="false" showInputMessage="false" sqref="E5:E34" type="list">
      <formula1>"Must,Should,Could,Won't"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4" min="3" style="0" width="16"/>
  </cols>
  <sheetData>
    <row r="1" customFormat="false" ht="17.3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2" t="s">
        <v>146</v>
      </c>
    </row>
    <row r="4" customFormat="false" ht="15" hidden="false" customHeight="false" outlineLevel="0" collapsed="false">
      <c r="A4" s="6" t="s">
        <v>9</v>
      </c>
      <c r="B4" s="6" t="s">
        <v>147</v>
      </c>
      <c r="C4" s="6" t="s">
        <v>148</v>
      </c>
    </row>
    <row r="5" customFormat="false" ht="15" hidden="false" customHeight="false" outlineLevel="0" collapsed="false">
      <c r="A5" s="7" t="s">
        <v>18</v>
      </c>
      <c r="B5" s="7" t="n">
        <f aca="false">COUNTIF('Product Backlog'!$H$5:$H$34,A5)</f>
        <v>16</v>
      </c>
      <c r="C5" s="7" t="n">
        <f aca="false">SUMIF('Product Backlog'!$H$5:$H$34,A5,'Product Backlog'!$F$5:$F$34)</f>
        <v>52</v>
      </c>
    </row>
    <row r="6" customFormat="false" ht="15" hidden="false" customHeight="false" outlineLevel="0" collapsed="false">
      <c r="A6" s="7" t="s">
        <v>149</v>
      </c>
      <c r="B6" s="7" t="n">
        <f aca="false">COUNTIF('Product Backlog'!$H$5:$H$34,A6)</f>
        <v>0</v>
      </c>
      <c r="C6" s="7" t="n">
        <f aca="false">SUMIF('Product Backlog'!$H$5:$H$34,A6,'Product Backlog'!$F$5:$F$34)</f>
        <v>0</v>
      </c>
    </row>
    <row r="7" customFormat="false" ht="15" hidden="false" customHeight="false" outlineLevel="0" collapsed="false">
      <c r="A7" s="7" t="s">
        <v>143</v>
      </c>
      <c r="B7" s="7" t="n">
        <f aca="false">COUNTIF('Product Backlog'!$H$5:$H$34,A7)</f>
        <v>1</v>
      </c>
      <c r="C7" s="7" t="n">
        <f aca="false">SUMIF('Product Backlog'!$H$5:$H$34,A7,'Product Backlog'!$F$5:$F$34)</f>
        <v>3</v>
      </c>
    </row>
    <row r="8" customFormat="false" ht="15" hidden="false" customHeight="false" outlineLevel="0" collapsed="false">
      <c r="A8" s="7" t="s">
        <v>100</v>
      </c>
      <c r="B8" s="7" t="n">
        <f aca="false">COUNTIF('Product Backlog'!$H$5:$H$34,A8)</f>
        <v>3</v>
      </c>
      <c r="C8" s="7" t="n">
        <f aca="false">SUMIF('Product Backlog'!$H$5:$H$34,A8,'Product Backlog'!$F$5:$F$34)</f>
        <v>9</v>
      </c>
    </row>
    <row r="9" customFormat="false" ht="15" hidden="false" customHeight="false" outlineLevel="0" collapsed="false">
      <c r="A9" s="7" t="s">
        <v>69</v>
      </c>
      <c r="B9" s="7" t="n">
        <f aca="false">COUNTIF('Product Backlog'!$H$5:$H$34,A9)</f>
        <v>10</v>
      </c>
      <c r="C9" s="7" t="n">
        <f aca="false">SUMIF('Product Backlog'!$H$5:$H$34,A9,'Product Backlog'!$F$5:$F$34)</f>
        <v>47</v>
      </c>
    </row>
    <row r="10" customFormat="false" ht="15" hidden="false" customHeight="false" outlineLevel="0" collapsed="false">
      <c r="A10" s="8" t="s">
        <v>150</v>
      </c>
      <c r="B10" s="8" t="n">
        <f aca="false">SUM(B5:B9)</f>
        <v>30</v>
      </c>
      <c r="C10" s="8" t="n">
        <f aca="false">SUM(C5:C9)</f>
        <v>111</v>
      </c>
    </row>
    <row r="12" customFormat="false" ht="15" hidden="false" customHeight="false" outlineLevel="0" collapsed="false">
      <c r="A12" s="9" t="s">
        <v>151</v>
      </c>
      <c r="C12" s="10" t="n">
        <f aca="false">IFERROR(C5/C10,0)</f>
        <v>0.468468468468468</v>
      </c>
    </row>
    <row r="14" customFormat="false" ht="15" hidden="false" customHeight="false" outlineLevel="0" collapsed="false">
      <c r="A14" s="6" t="s">
        <v>8</v>
      </c>
      <c r="B14" s="6" t="s">
        <v>152</v>
      </c>
      <c r="C14" s="6" t="s">
        <v>153</v>
      </c>
      <c r="D14" s="6" t="s">
        <v>154</v>
      </c>
    </row>
    <row r="15" customFormat="false" ht="15" hidden="false" customHeight="false" outlineLevel="0" collapsed="false">
      <c r="A15" s="7" t="s">
        <v>17</v>
      </c>
      <c r="B15" s="7" t="n">
        <f aca="false">SUMIF('Product Backlog'!$G$5:$G$34,A15,'Product Backlog'!$F$5:$F$34)</f>
        <v>14</v>
      </c>
      <c r="C15" s="7" t="n">
        <f aca="false">SUMIFS('Product Backlog'!$F$5:$F$34,'Product Backlog'!$G$5:$G$34,A15,'Product Backlog'!$H$5:$H$34,"Terminado")</f>
        <v>14</v>
      </c>
      <c r="D15" s="11" t="n">
        <f aca="false">IFERROR(C15/B15,0)</f>
        <v>1</v>
      </c>
    </row>
    <row r="16" customFormat="false" ht="15" hidden="false" customHeight="false" outlineLevel="0" collapsed="false">
      <c r="A16" s="7" t="s">
        <v>43</v>
      </c>
      <c r="B16" s="7" t="n">
        <f aca="false">SUMIF('Product Backlog'!$G$5:$G$34,A16,'Product Backlog'!$F$5:$F$34)</f>
        <v>25</v>
      </c>
      <c r="C16" s="7" t="n">
        <f aca="false">SUMIFS('Product Backlog'!$F$5:$F$34,'Product Backlog'!$G$5:$G$34,A16,'Product Backlog'!$H$5:$H$34,"Terminado")</f>
        <v>25</v>
      </c>
      <c r="D16" s="11" t="n">
        <f aca="false">IFERROR(C16/B16,0)</f>
        <v>1</v>
      </c>
    </row>
    <row r="17" customFormat="false" ht="15" hidden="false" customHeight="false" outlineLevel="0" collapsed="false">
      <c r="A17" s="7" t="s">
        <v>58</v>
      </c>
      <c r="B17" s="7" t="n">
        <f aca="false">SUMIF('Product Backlog'!$G$5:$G$34,A17,'Product Backlog'!$F$5:$F$34)</f>
        <v>25</v>
      </c>
      <c r="C17" s="7" t="n">
        <f aca="false">SUMIFS('Product Backlog'!$F$5:$F$34,'Product Backlog'!$G$5:$G$34,A17,'Product Backlog'!$H$5:$H$34,"Terminado")</f>
        <v>13</v>
      </c>
      <c r="D17" s="11" t="n">
        <f aca="false">IFERROR(C17/B17,0)</f>
        <v>0.52</v>
      </c>
    </row>
    <row r="18" customFormat="false" ht="15" hidden="false" customHeight="false" outlineLevel="0" collapsed="false">
      <c r="A18" s="7" t="s">
        <v>155</v>
      </c>
      <c r="B18" s="7" t="n">
        <f aca="false">SUMPRODUCT(('Product Backlog'!$G$5:$G$34="")*'Product Backlog'!$F$5:$F$34)</f>
        <v>47</v>
      </c>
    </row>
    <row r="19" customFormat="false" ht="15" hidden="false" customHeight="false" outlineLevel="0" collapsed="false">
      <c r="A19" s="2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157</v>
      </c>
      <c r="B1" s="12"/>
    </row>
    <row r="2" customFormat="false" ht="15" hidden="false" customHeight="false" outlineLevel="0" collapsed="false">
      <c r="A2" s="13"/>
      <c r="B2" s="12"/>
    </row>
    <row r="3" customFormat="false" ht="15" hidden="false" customHeight="false" outlineLevel="0" collapsed="false">
      <c r="A3" s="14" t="s">
        <v>9</v>
      </c>
      <c r="B3" s="15" t="s">
        <v>158</v>
      </c>
    </row>
    <row r="4" customFormat="false" ht="15" hidden="false" customHeight="false" outlineLevel="0" collapsed="false">
      <c r="A4" s="13" t="s">
        <v>18</v>
      </c>
      <c r="B4" s="12" t="s">
        <v>159</v>
      </c>
    </row>
    <row r="5" customFormat="false" ht="15" hidden="false" customHeight="false" outlineLevel="0" collapsed="false">
      <c r="A5" s="13" t="s">
        <v>149</v>
      </c>
      <c r="B5" s="12" t="s">
        <v>160</v>
      </c>
    </row>
    <row r="6" customFormat="false" ht="15" hidden="false" customHeight="false" outlineLevel="0" collapsed="false">
      <c r="A6" s="13" t="s">
        <v>143</v>
      </c>
      <c r="B6" s="12" t="s">
        <v>161</v>
      </c>
    </row>
    <row r="7" customFormat="false" ht="15" hidden="false" customHeight="false" outlineLevel="0" collapsed="false">
      <c r="A7" s="13" t="s">
        <v>100</v>
      </c>
      <c r="B7" s="12" t="s">
        <v>162</v>
      </c>
    </row>
    <row r="8" customFormat="false" ht="15" hidden="false" customHeight="false" outlineLevel="0" collapsed="false">
      <c r="A8" s="13" t="s">
        <v>69</v>
      </c>
      <c r="B8" s="12" t="s">
        <v>163</v>
      </c>
    </row>
    <row r="9" customFormat="false" ht="15" hidden="false" customHeight="false" outlineLevel="0" collapsed="false">
      <c r="A9" s="13"/>
      <c r="B9" s="12"/>
    </row>
    <row r="10" customFormat="false" ht="15" hidden="false" customHeight="false" outlineLevel="0" collapsed="false">
      <c r="A10" s="14" t="s">
        <v>164</v>
      </c>
      <c r="B10" s="15" t="s">
        <v>158</v>
      </c>
    </row>
    <row r="11" customFormat="false" ht="15" hidden="false" customHeight="false" outlineLevel="0" collapsed="false">
      <c r="A11" s="13" t="s">
        <v>16</v>
      </c>
      <c r="B11" s="12" t="s">
        <v>165</v>
      </c>
    </row>
    <row r="12" customFormat="false" ht="15" hidden="false" customHeight="false" outlineLevel="0" collapsed="false">
      <c r="A12" s="13" t="s">
        <v>77</v>
      </c>
      <c r="B12" s="12" t="s">
        <v>166</v>
      </c>
    </row>
    <row r="13" customFormat="false" ht="15" hidden="false" customHeight="false" outlineLevel="0" collapsed="false">
      <c r="A13" s="13" t="s">
        <v>119</v>
      </c>
      <c r="B13" s="12" t="s">
        <v>167</v>
      </c>
    </row>
    <row r="14" customFormat="false" ht="15" hidden="false" customHeight="false" outlineLevel="0" collapsed="false">
      <c r="A14" s="13" t="s">
        <v>168</v>
      </c>
      <c r="B14" s="12" t="s">
        <v>169</v>
      </c>
    </row>
    <row r="15" customFormat="false" ht="15" hidden="false" customHeight="false" outlineLevel="0" collapsed="false">
      <c r="A15" s="13"/>
      <c r="B15" s="12"/>
    </row>
    <row r="16" customFormat="false" ht="23.85" hidden="false" customHeight="false" outlineLevel="0" collapsed="false">
      <c r="A16" s="14" t="s">
        <v>170</v>
      </c>
      <c r="B16" s="12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2026-10-02T16:11:07Z</dcterms:created>
  <dc:creator>openpyxl</dc:creator>
  <dc:description/>
  <dc:language>en-US</dc:language>
  <cp:lastModifiedBy/>
  <dcterms:modified xsi:type="dcterms:W3CDTF">2026-10-02T16:11:07Z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